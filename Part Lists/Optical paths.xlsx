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bp/Documents/GitHub/FP_V3/Part Lists/"/>
    </mc:Choice>
  </mc:AlternateContent>
  <xr:revisionPtr revIDLastSave="0" documentId="13_ncr:1_{25096FE3-9F80-FC44-97CE-9C18311BB2DD}" xr6:coauthVersionLast="47" xr6:coauthVersionMax="47" xr10:uidLastSave="{00000000-0000-0000-0000-000000000000}"/>
  <bookViews>
    <workbookView xWindow="-45500" yWindow="5600" windowWidth="28040" windowHeight="17180" xr2:uid="{3C207C99-830C-054E-BC1A-F4A43E3750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7" i="1" l="1"/>
  <c r="G36" i="1"/>
  <c r="G35" i="1"/>
  <c r="G34" i="1"/>
  <c r="G33" i="1"/>
  <c r="G32" i="1"/>
  <c r="G31" i="1"/>
  <c r="G30" i="1"/>
  <c r="G29" i="1"/>
  <c r="G28" i="1"/>
  <c r="G27" i="1"/>
  <c r="G17" i="1"/>
  <c r="G26" i="1"/>
  <c r="G25" i="1"/>
  <c r="G24" i="1"/>
  <c r="G23" i="1"/>
  <c r="G22" i="1"/>
  <c r="G21" i="1"/>
  <c r="G20" i="1"/>
  <c r="G19" i="1"/>
  <c r="G18" i="1"/>
  <c r="G16" i="1"/>
  <c r="G15" i="1"/>
  <c r="G3" i="1"/>
  <c r="G4" i="1"/>
  <c r="G5" i="1"/>
  <c r="G6" i="1"/>
  <c r="G7" i="1"/>
  <c r="G8" i="1"/>
  <c r="G9" i="1"/>
  <c r="G10" i="1"/>
  <c r="G11" i="1"/>
  <c r="G12" i="1"/>
  <c r="G13" i="1"/>
  <c r="G14" i="1"/>
  <c r="G2" i="1"/>
  <c r="G40" i="1" l="1"/>
</calcChain>
</file>

<file path=xl/sharedStrings.xml><?xml version="1.0" encoding="utf-8"?>
<sst xmlns="http://schemas.openxmlformats.org/spreadsheetml/2006/main" count="164" uniqueCount="129">
  <si>
    <t>Qty</t>
  </si>
  <si>
    <t>Source</t>
  </si>
  <si>
    <t>Cat #</t>
  </si>
  <si>
    <t>Link</t>
  </si>
  <si>
    <t>Name</t>
  </si>
  <si>
    <t xml:space="preserve">Power Supply Unit with 3.5 mm Jack Connector for One K- or T-Cube 15 V, 2.66 A </t>
  </si>
  <si>
    <t>Thorlabs</t>
  </si>
  <si>
    <t>KPS201</t>
  </si>
  <si>
    <t>https://www.thorlabs.com/item/KPS201</t>
  </si>
  <si>
    <t>https://www.thorlabs.com/item/LEDD1B</t>
  </si>
  <si>
    <t>LEDD1B</t>
  </si>
  <si>
    <t>T-Cube LED Driver, 1200 mA Max Drive Current</t>
  </si>
  <si>
    <t>https://www.thorlabs.com/item/m470l5</t>
  </si>
  <si>
    <t>M470L5</t>
  </si>
  <si>
    <t>470 nm, 809 mW (Min) Mounted LED, 1000 mA</t>
  </si>
  <si>
    <t>Ø1" Bandpass Filter, CWL = 470 ± 2 nm, FWHM = 10 ± 2 nm</t>
  </si>
  <si>
    <t>Notes</t>
  </si>
  <si>
    <t>FBH470-10</t>
  </si>
  <si>
    <t>https://www.thorlabs.com/item/FBH470-10</t>
  </si>
  <si>
    <t>https://www.thorlabs.com/item/LA1951?aID=9504e5e6d022440e60bb8b6b7970e9ba&amp;aC=1</t>
  </si>
  <si>
    <t>LA1951</t>
  </si>
  <si>
    <t>N-BK7 Plano-Convex Lens, Ø1", f = 25 mm, Uncoated</t>
  </si>
  <si>
    <t>https://www.thorlabs.com/item/SM1L15</t>
  </si>
  <si>
    <t>SM1L15</t>
  </si>
  <si>
    <t>SM1 Lens Tube, 1.50" Thread Depth</t>
  </si>
  <si>
    <t>https://www.thorlabs.com/item/SM1RR-P10</t>
  </si>
  <si>
    <t>SM1RR-P10</t>
  </si>
  <si>
    <t>SM1 Retaining Ring for Ø1" Lens Tubes and Mounts, 10 Pack</t>
  </si>
  <si>
    <t>https://www.thorlabs.com/item/SM1T2</t>
  </si>
  <si>
    <t>SM1T2</t>
  </si>
  <si>
    <t>3rd one for the camera</t>
  </si>
  <si>
    <t>SM1 (1.035"-40) Coupler, External Threads, 0.5" Long, Two Locking Rings</t>
  </si>
  <si>
    <t>https://www.thorlabs.com/item/M405L4?aID=a056b4baa5de84c94eeb4c008f644e86&amp;aC=1</t>
  </si>
  <si>
    <t>M405L4</t>
  </si>
  <si>
    <t>405 nm, 1000 mW (Min) Mounted LED, 1000 mA</t>
  </si>
  <si>
    <t>https://www.thorlabs.com/item/FBH405-10?aID=72a807b1ebba4cd8c32fe8aa78364fae&amp;aC=1</t>
  </si>
  <si>
    <t>FBH405-10</t>
  </si>
  <si>
    <t>Hard-Coated Bandpass Filter, Ø25 mm, CWL = 405 nm, FWHM = 10 nm</t>
  </si>
  <si>
    <t>https://www.thorlabs.com/item/C4W</t>
  </si>
  <si>
    <t>C4W</t>
  </si>
  <si>
    <t>30 mm Cage Cube</t>
  </si>
  <si>
    <t>https://www.thorlabs.com/item/SM1CP2</t>
  </si>
  <si>
    <t>SM1CP2</t>
  </si>
  <si>
    <t>Externally SM1-Threaded End Cap</t>
  </si>
  <si>
    <t>https://www.thorlabs.com/item/B1C</t>
  </si>
  <si>
    <t>B1C</t>
  </si>
  <si>
    <t>Blank Cover Plate</t>
  </si>
  <si>
    <t>Total</t>
  </si>
  <si>
    <t>Price each (USD)*</t>
  </si>
  <si>
    <t>*: Updated September 2026</t>
  </si>
  <si>
    <t>https://www.thorlabs.com/item/B3C</t>
  </si>
  <si>
    <t>B3C</t>
  </si>
  <si>
    <t>Fixed Cage Cube Platform for C4W/C6WR</t>
  </si>
  <si>
    <t>https://www.thorlabs.com/item/FFM1</t>
  </si>
  <si>
    <t>FFM1</t>
  </si>
  <si>
    <t>30-mm-Cage-Compatible Rectangular Filter Mount</t>
  </si>
  <si>
    <t>https://www.thorlabs.com/item/C4W-CC?aID=05cea842c430325db5eaebcb8b348e42&amp;aC=1</t>
  </si>
  <si>
    <t>C4W-CC</t>
  </si>
  <si>
    <t>30 mm Cage Cube Connector for C4W and C6WR Series Cubes</t>
  </si>
  <si>
    <t>https://www.thorlabs.com/item/TR2</t>
  </si>
  <si>
    <t>TR2</t>
  </si>
  <si>
    <t>Ø1/2" Optical Post, SS, 8-32 Setscrew, 1/4"-20 Tap, L = 2"</t>
  </si>
  <si>
    <t>Ø1/2" Post Holder, Spring-Loaded Hex-Locking Thumbscrew, L = 2"</t>
  </si>
  <si>
    <t>https://www.thorlabs.com/item/PH2</t>
  </si>
  <si>
    <t>PH2</t>
  </si>
  <si>
    <t>https://www.thorlabs.com/item/SS25S0625</t>
  </si>
  <si>
    <t>SS25S0625</t>
  </si>
  <si>
    <t>1/4"-20 Stainless Steel Setscrew, 5/8" Long, 25 Pack</t>
  </si>
  <si>
    <t>You only need two for attach the post holder to the breadboard</t>
  </si>
  <si>
    <t>https://www.thorlabs.com/item/ER3-P4?aID=01b3557baf2733f4397297e08478e846&amp;aC=2</t>
  </si>
  <si>
    <t>ER3-P4</t>
  </si>
  <si>
    <t>Cage Assembly Rod, 3" Long, Ø6 mm, 4 Pack</t>
  </si>
  <si>
    <t>https://www.thorlabs.com/item/SM1FC</t>
  </si>
  <si>
    <t>SM1FC</t>
  </si>
  <si>
    <t>FC/PC Fiber Adapter Plate with External SM1 (1.035"-40) Threads, Wide Key (2.2 mm)</t>
  </si>
  <si>
    <t>https://www.thorlabs.com/item/CXY1A?aID=5f6e1a3dfebfdd3d7206ff5e9ce5c25e&amp;aC=1</t>
  </si>
  <si>
    <t>CXY1A</t>
  </si>
  <si>
    <t>30 mm Cage System, XY Translating Lens Mount for Ø1" Optics</t>
  </si>
  <si>
    <t>https://www.thorlabs.com/item/RMS20X?aID=2df9ef8807fd1ac0e8a50986c0c29f82&amp;aC=1</t>
  </si>
  <si>
    <t>RMS20X</t>
  </si>
  <si>
    <t>20X Evident Plan Achromat Objective, 0.40 NA, 1.2 mm WD</t>
  </si>
  <si>
    <t>https://www.thorlabs.com/item/SM1L03</t>
  </si>
  <si>
    <t>For holding the objective</t>
  </si>
  <si>
    <t>SM1 Lens Tube, 0.30" Thread Depth</t>
  </si>
  <si>
    <t>SM1L03</t>
  </si>
  <si>
    <t>25 mm x 36 mm Longpass Dichroic Mirror, 425 nm Cut-On</t>
  </si>
  <si>
    <t>DMLP425R</t>
  </si>
  <si>
    <t>https://www.thorlabs.com/item/DMLP425R</t>
  </si>
  <si>
    <t>https://www.idex-hs.com/store/product-detail/ff01_535_22_25</t>
  </si>
  <si>
    <t>FL-003976</t>
  </si>
  <si>
    <t>Semrock part #FF01-535/22-25</t>
  </si>
  <si>
    <t>IDEX Health &amp; Science</t>
  </si>
  <si>
    <t xml:space="preserve">535/22 nm BrightLine® single-band bandpass filter </t>
  </si>
  <si>
    <t>https://www.idex-hs.com/store/product-detail/ff495_di03_25x36?search=true</t>
  </si>
  <si>
    <t>FL-007145</t>
  </si>
  <si>
    <t>495 nm edge BrightLine® single-edge standard epi-fluorescence dichroic beamsplitter</t>
  </si>
  <si>
    <t>Semrock part # FF495-Di03-25x36</t>
  </si>
  <si>
    <t>https://www.thorlabs.com/item/AC254-035-A-ML</t>
  </si>
  <si>
    <t>AC254-035-A-ML</t>
  </si>
  <si>
    <t>f=35 mm, Ø1" Achromatic Doublet, SM1-Threaded Mount, ARC: 400-700 nm</t>
  </si>
  <si>
    <t>https://www.edmundoptics.ca/p/bfs-u3-04s2m-cs-usb3-blackflyreg-s-monochrome-camera/40161/</t>
  </si>
  <si>
    <t>Edmund Optics</t>
  </si>
  <si>
    <t>BFS-U3-04S2M-CS USB 3.1 Blackfly® S, Monochrome Camera</t>
  </si>
  <si>
    <t>https://www.edmundoptics.ca/p/usb-30-locking-cable-3m-length/29172/</t>
  </si>
  <si>
    <t>86-770</t>
  </si>
  <si>
    <t>11-505</t>
  </si>
  <si>
    <t>Teledyne part # BFS-U3-04S2M-CS</t>
  </si>
  <si>
    <t>Teledyne FLIR Type-A to Micro-B, USB 3.1 Locking Cable, 3m</t>
  </si>
  <si>
    <t>https://www.edmundoptics.ca/p/blackflyreg-6-pin-gpio-hirose-connector-1m-cable/30349/</t>
  </si>
  <si>
    <t xml:space="preserve">88-064 </t>
  </si>
  <si>
    <t>Blackfly S/Blackfly 6-pin GPIO Hirose Connector Cable, 1m</t>
  </si>
  <si>
    <t>https://www.thorlabs.com/item/MB12?aID=90c1048a0fb55e9c6df63419d38347cc&amp;aC=2</t>
  </si>
  <si>
    <t>MB12</t>
  </si>
  <si>
    <t>Aluminum Breadboard 12" x 12" x 1/2", 1/4"-20 Taps</t>
  </si>
  <si>
    <t>https://www.thorlabs.com/item/SH25S050</t>
  </si>
  <si>
    <t>SH25S050</t>
  </si>
  <si>
    <t>1/4"-20 Stainless Steel Cap Screw, 1/2" Long, 25 Pack</t>
  </si>
  <si>
    <t>Need only a few</t>
  </si>
  <si>
    <t>Doric Lenses</t>
  </si>
  <si>
    <t>MFP_400/440/1100-0.37_2m_FC-MF1.25_LAF</t>
  </si>
  <si>
    <t>https://neuro.doriclenses.com/collections/branching-fiber-optic-patchcords</t>
  </si>
  <si>
    <t>Low-Autofluorescence Bundle Branching Fiber-optic Patch Cord</t>
  </si>
  <si>
    <t>Low-Autofluorescence Fiber-optic Patch Cord</t>
  </si>
  <si>
    <t>1 fiber option (price is from 2023)</t>
  </si>
  <si>
    <t>BBP(2)_400/440/900-0.37_2m_FCM-2xMF1.25_LAF</t>
  </si>
  <si>
    <t>BBP(4)_400/440/900-0.37_2m_FCM-4xMF1.25_LAF</t>
  </si>
  <si>
    <t>2 fiber option (price is from 2023)</t>
  </si>
  <si>
    <t>4 fiber option (price is from 2023)</t>
  </si>
  <si>
    <t>Also tried with this objective but way more expensive: https://www.edmundoptics.ca/p/olympus-uplxapo-10x-objective/43024/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</si>
</sst>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2"/>
    <xf numFmtId="44" fontId="0" fillId="0" borderId="0" xfId="1" applyFont="1"/>
    <xf numFmtId="0" fontId="0" fillId="0" borderId="0" xfId="0" applyAlignment="1">
      <alignment wrapText="1"/>
    </xf>
    <xf numFmtId="0" fontId="3" fillId="0" borderId="1" xfId="0" applyFont="1" applyBorder="1"/>
    <xf numFmtId="44" fontId="3" fillId="0" borderId="1" xfId="1" applyFont="1" applyBorder="1" applyAlignment="1">
      <alignment wrapText="1"/>
    </xf>
    <xf numFmtId="44" fontId="3" fillId="0" borderId="1" xfId="1" applyFon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rlabs.com/item/RMS20X?aID=2df9ef8807fd1ac0e8a50986c0c29f82&amp;aC=1" TargetMode="External"/><Relationship Id="rId13" Type="http://schemas.openxmlformats.org/officeDocument/2006/relationships/hyperlink" Target="https://www.edmundoptics.ca/p/blackflyreg-6-pin-gpio-hirose-connector-1m-cable/30349/" TargetMode="External"/><Relationship Id="rId3" Type="http://schemas.openxmlformats.org/officeDocument/2006/relationships/hyperlink" Target="https://www.thorlabs.com/item/SM1L15" TargetMode="External"/><Relationship Id="rId7" Type="http://schemas.openxmlformats.org/officeDocument/2006/relationships/hyperlink" Target="https://www.thorlabs.com/item/CXY1A?aID=5f6e1a3dfebfdd3d7206ff5e9ce5c25e&amp;aC=1" TargetMode="External"/><Relationship Id="rId12" Type="http://schemas.openxmlformats.org/officeDocument/2006/relationships/hyperlink" Target="https://www.idex-hs.com/store/product-detail/ff495_di03_25x36?search=true" TargetMode="External"/><Relationship Id="rId2" Type="http://schemas.openxmlformats.org/officeDocument/2006/relationships/hyperlink" Target="https://www.thorlabs.com/item/FBH470-10" TargetMode="External"/><Relationship Id="rId1" Type="http://schemas.openxmlformats.org/officeDocument/2006/relationships/hyperlink" Target="https://www.thorlabs.com/item/LEDD1B" TargetMode="External"/><Relationship Id="rId6" Type="http://schemas.openxmlformats.org/officeDocument/2006/relationships/hyperlink" Target="https://www.thorlabs.com/item/ER3-P4?aID=01b3557baf2733f4397297e08478e846&amp;aC=2" TargetMode="External"/><Relationship Id="rId11" Type="http://schemas.openxmlformats.org/officeDocument/2006/relationships/hyperlink" Target="https://www.idex-hs.com/store/product-detail/ff01_535_22_25" TargetMode="External"/><Relationship Id="rId5" Type="http://schemas.openxmlformats.org/officeDocument/2006/relationships/hyperlink" Target="https://www.thorlabs.com/item/SS25S0625" TargetMode="External"/><Relationship Id="rId15" Type="http://schemas.openxmlformats.org/officeDocument/2006/relationships/hyperlink" Target="https://neuro.doriclenses.com/collections/branching-fiber-optic-patchcords" TargetMode="External"/><Relationship Id="rId10" Type="http://schemas.openxmlformats.org/officeDocument/2006/relationships/hyperlink" Target="https://www.thorlabs.com/item/DMLP425R" TargetMode="External"/><Relationship Id="rId4" Type="http://schemas.openxmlformats.org/officeDocument/2006/relationships/hyperlink" Target="https://www.thorlabs.com/item/C4W" TargetMode="External"/><Relationship Id="rId9" Type="http://schemas.openxmlformats.org/officeDocument/2006/relationships/hyperlink" Target="https://www.thorlabs.com/item/FFM1" TargetMode="External"/><Relationship Id="rId14" Type="http://schemas.openxmlformats.org/officeDocument/2006/relationships/hyperlink" Target="https://neuro.doriclenses.com/collections/branching-fiber-optic-patchcor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CB33-2C7A-4C43-9D17-3B8ACA3B278F}">
  <dimension ref="A1:H40"/>
  <sheetViews>
    <sheetView tabSelected="1" topLeftCell="A8" workbookViewId="0">
      <selection activeCell="H26" sqref="H26"/>
    </sheetView>
  </sheetViews>
  <sheetFormatPr baseColWidth="10" defaultRowHeight="16" x14ac:dyDescent="0.2"/>
  <cols>
    <col min="1" max="1" width="47.33203125" customWidth="1"/>
    <col min="2" max="2" width="22.5" customWidth="1"/>
    <col min="4" max="4" width="21.1640625" customWidth="1"/>
    <col min="5" max="5" width="38.6640625" customWidth="1"/>
    <col min="6" max="7" width="10.83203125" style="2"/>
    <col min="8" max="8" width="33.5" customWidth="1"/>
  </cols>
  <sheetData>
    <row r="1" spans="1:8" ht="34" x14ac:dyDescent="0.2">
      <c r="A1" s="4" t="s">
        <v>4</v>
      </c>
      <c r="B1" s="4" t="s">
        <v>3</v>
      </c>
      <c r="C1" s="4" t="s">
        <v>0</v>
      </c>
      <c r="D1" s="4" t="s">
        <v>1</v>
      </c>
      <c r="E1" s="4" t="s">
        <v>2</v>
      </c>
      <c r="F1" s="5" t="s">
        <v>48</v>
      </c>
      <c r="G1" s="6" t="s">
        <v>47</v>
      </c>
      <c r="H1" s="4" t="s">
        <v>16</v>
      </c>
    </row>
    <row r="2" spans="1:8" x14ac:dyDescent="0.2">
      <c r="A2" t="s">
        <v>11</v>
      </c>
      <c r="B2" s="1" t="s">
        <v>9</v>
      </c>
      <c r="C2">
        <v>2</v>
      </c>
      <c r="D2" t="s">
        <v>6</v>
      </c>
      <c r="E2" t="s">
        <v>10</v>
      </c>
      <c r="F2" s="2">
        <v>380.04</v>
      </c>
      <c r="G2" s="2">
        <f>F2*C2</f>
        <v>760.08</v>
      </c>
    </row>
    <row r="3" spans="1:8" ht="34" x14ac:dyDescent="0.2">
      <c r="A3" s="3" t="s">
        <v>5</v>
      </c>
      <c r="B3" t="s">
        <v>8</v>
      </c>
      <c r="C3">
        <v>2</v>
      </c>
      <c r="D3" t="s">
        <v>6</v>
      </c>
      <c r="E3" t="s">
        <v>7</v>
      </c>
      <c r="F3" s="2">
        <v>43.15</v>
      </c>
      <c r="G3" s="2">
        <f t="shared" ref="G3:G37" si="0">F3*C3</f>
        <v>86.3</v>
      </c>
    </row>
    <row r="4" spans="1:8" x14ac:dyDescent="0.2">
      <c r="A4" t="s">
        <v>14</v>
      </c>
      <c r="B4" t="s">
        <v>12</v>
      </c>
      <c r="C4">
        <v>1</v>
      </c>
      <c r="D4" t="s">
        <v>6</v>
      </c>
      <c r="E4" t="s">
        <v>13</v>
      </c>
      <c r="F4" s="2">
        <v>261.2</v>
      </c>
      <c r="G4" s="2">
        <f t="shared" si="0"/>
        <v>261.2</v>
      </c>
    </row>
    <row r="5" spans="1:8" x14ac:dyDescent="0.2">
      <c r="A5" t="s">
        <v>15</v>
      </c>
      <c r="B5" s="1" t="s">
        <v>18</v>
      </c>
      <c r="C5">
        <v>1</v>
      </c>
      <c r="D5" t="s">
        <v>6</v>
      </c>
      <c r="E5" t="s">
        <v>17</v>
      </c>
      <c r="F5" s="2">
        <v>193.82</v>
      </c>
      <c r="G5" s="2">
        <f t="shared" si="0"/>
        <v>193.82</v>
      </c>
      <c r="H5" s="2"/>
    </row>
    <row r="6" spans="1:8" x14ac:dyDescent="0.2">
      <c r="A6" t="s">
        <v>34</v>
      </c>
      <c r="B6" s="1" t="s">
        <v>32</v>
      </c>
      <c r="C6">
        <v>1</v>
      </c>
      <c r="D6" t="s">
        <v>6</v>
      </c>
      <c r="E6" t="s">
        <v>33</v>
      </c>
      <c r="F6" s="2">
        <v>274.16000000000003</v>
      </c>
      <c r="G6" s="2">
        <f t="shared" si="0"/>
        <v>274.16000000000003</v>
      </c>
      <c r="H6" s="2"/>
    </row>
    <row r="7" spans="1:8" x14ac:dyDescent="0.2">
      <c r="A7" t="s">
        <v>37</v>
      </c>
      <c r="B7" s="1" t="s">
        <v>35</v>
      </c>
      <c r="C7">
        <v>1</v>
      </c>
      <c r="D7" t="s">
        <v>6</v>
      </c>
      <c r="E7" t="s">
        <v>36</v>
      </c>
      <c r="F7" s="2">
        <v>193.82</v>
      </c>
      <c r="G7" s="2">
        <f t="shared" si="0"/>
        <v>193.82</v>
      </c>
      <c r="H7" s="2"/>
    </row>
    <row r="8" spans="1:8" x14ac:dyDescent="0.2">
      <c r="A8" t="s">
        <v>21</v>
      </c>
      <c r="B8" t="s">
        <v>19</v>
      </c>
      <c r="C8">
        <v>2</v>
      </c>
      <c r="D8" t="s">
        <v>6</v>
      </c>
      <c r="E8" t="s">
        <v>20</v>
      </c>
      <c r="F8" s="2">
        <v>28.95</v>
      </c>
      <c r="G8" s="2">
        <f t="shared" si="0"/>
        <v>57.9</v>
      </c>
    </row>
    <row r="9" spans="1:8" x14ac:dyDescent="0.2">
      <c r="A9" t="s">
        <v>24</v>
      </c>
      <c r="B9" s="1" t="s">
        <v>22</v>
      </c>
      <c r="C9">
        <v>2</v>
      </c>
      <c r="D9" t="s">
        <v>6</v>
      </c>
      <c r="E9" t="s">
        <v>23</v>
      </c>
      <c r="F9" s="2">
        <v>18.170000000000002</v>
      </c>
      <c r="G9" s="2">
        <f t="shared" si="0"/>
        <v>36.340000000000003</v>
      </c>
    </row>
    <row r="10" spans="1:8" x14ac:dyDescent="0.2">
      <c r="A10" t="s">
        <v>27</v>
      </c>
      <c r="B10" t="s">
        <v>25</v>
      </c>
      <c r="C10">
        <v>1</v>
      </c>
      <c r="D10" t="s">
        <v>6</v>
      </c>
      <c r="E10" t="s">
        <v>26</v>
      </c>
      <c r="F10" s="2">
        <v>46.88</v>
      </c>
      <c r="G10" s="2">
        <f t="shared" si="0"/>
        <v>46.88</v>
      </c>
    </row>
    <row r="11" spans="1:8" x14ac:dyDescent="0.2">
      <c r="A11" t="s">
        <v>31</v>
      </c>
      <c r="B11" t="s">
        <v>28</v>
      </c>
      <c r="C11">
        <v>3</v>
      </c>
      <c r="D11" t="s">
        <v>6</v>
      </c>
      <c r="E11" t="s">
        <v>29</v>
      </c>
      <c r="F11" s="2">
        <v>25.29</v>
      </c>
      <c r="G11" s="2">
        <f t="shared" si="0"/>
        <v>75.87</v>
      </c>
      <c r="H11" t="s">
        <v>30</v>
      </c>
    </row>
    <row r="12" spans="1:8" x14ac:dyDescent="0.2">
      <c r="A12" t="s">
        <v>40</v>
      </c>
      <c r="B12" s="1" t="s">
        <v>38</v>
      </c>
      <c r="C12">
        <v>2</v>
      </c>
      <c r="D12" t="s">
        <v>6</v>
      </c>
      <c r="E12" t="s">
        <v>39</v>
      </c>
      <c r="F12" s="2">
        <v>75.319999999999993</v>
      </c>
      <c r="G12" s="2">
        <f t="shared" si="0"/>
        <v>150.63999999999999</v>
      </c>
    </row>
    <row r="13" spans="1:8" x14ac:dyDescent="0.2">
      <c r="A13" t="s">
        <v>43</v>
      </c>
      <c r="B13" t="s">
        <v>41</v>
      </c>
      <c r="C13">
        <v>2</v>
      </c>
      <c r="D13" t="s">
        <v>6</v>
      </c>
      <c r="E13" t="s">
        <v>42</v>
      </c>
      <c r="F13" s="2">
        <v>22.13</v>
      </c>
      <c r="G13" s="2">
        <f t="shared" si="0"/>
        <v>44.26</v>
      </c>
    </row>
    <row r="14" spans="1:8" x14ac:dyDescent="0.2">
      <c r="A14" t="s">
        <v>46</v>
      </c>
      <c r="B14" t="s">
        <v>44</v>
      </c>
      <c r="C14">
        <v>2</v>
      </c>
      <c r="D14" t="s">
        <v>6</v>
      </c>
      <c r="E14" t="s">
        <v>45</v>
      </c>
      <c r="F14" s="2">
        <v>23.39</v>
      </c>
      <c r="G14" s="2">
        <f t="shared" si="0"/>
        <v>46.78</v>
      </c>
    </row>
    <row r="15" spans="1:8" x14ac:dyDescent="0.2">
      <c r="A15" t="s">
        <v>52</v>
      </c>
      <c r="B15" t="s">
        <v>50</v>
      </c>
      <c r="C15">
        <v>2</v>
      </c>
      <c r="D15" t="s">
        <v>6</v>
      </c>
      <c r="E15" t="s">
        <v>51</v>
      </c>
      <c r="F15" s="2">
        <v>31.02</v>
      </c>
      <c r="G15" s="2">
        <f t="shared" si="0"/>
        <v>62.04</v>
      </c>
    </row>
    <row r="16" spans="1:8" x14ac:dyDescent="0.2">
      <c r="A16" t="s">
        <v>55</v>
      </c>
      <c r="B16" s="1" t="s">
        <v>53</v>
      </c>
      <c r="C16">
        <v>2</v>
      </c>
      <c r="D16" t="s">
        <v>6</v>
      </c>
      <c r="E16" t="s">
        <v>54</v>
      </c>
      <c r="F16" s="2">
        <v>72.77</v>
      </c>
      <c r="G16" s="2">
        <f t="shared" si="0"/>
        <v>145.54</v>
      </c>
    </row>
    <row r="17" spans="1:8" x14ac:dyDescent="0.2">
      <c r="A17" t="s">
        <v>85</v>
      </c>
      <c r="B17" s="1" t="s">
        <v>87</v>
      </c>
      <c r="C17">
        <v>1</v>
      </c>
      <c r="D17" t="s">
        <v>6</v>
      </c>
      <c r="E17" t="s">
        <v>86</v>
      </c>
      <c r="F17" s="2">
        <v>298.7</v>
      </c>
      <c r="G17" s="2">
        <f t="shared" si="0"/>
        <v>298.7</v>
      </c>
    </row>
    <row r="18" spans="1:8" x14ac:dyDescent="0.2">
      <c r="A18" t="s">
        <v>58</v>
      </c>
      <c r="B18" t="s">
        <v>56</v>
      </c>
      <c r="C18">
        <v>1</v>
      </c>
      <c r="D18" t="s">
        <v>6</v>
      </c>
      <c r="E18" t="s">
        <v>57</v>
      </c>
      <c r="F18" s="2">
        <v>64.2</v>
      </c>
      <c r="G18" s="2">
        <f t="shared" si="0"/>
        <v>64.2</v>
      </c>
    </row>
    <row r="19" spans="1:8" x14ac:dyDescent="0.2">
      <c r="A19" t="s">
        <v>61</v>
      </c>
      <c r="B19" t="s">
        <v>59</v>
      </c>
      <c r="C19">
        <v>2</v>
      </c>
      <c r="D19" t="s">
        <v>6</v>
      </c>
      <c r="E19" t="s">
        <v>60</v>
      </c>
      <c r="F19" s="2">
        <v>6.31</v>
      </c>
      <c r="G19" s="2">
        <f t="shared" si="0"/>
        <v>12.62</v>
      </c>
    </row>
    <row r="20" spans="1:8" x14ac:dyDescent="0.2">
      <c r="A20" t="s">
        <v>62</v>
      </c>
      <c r="B20" t="s">
        <v>63</v>
      </c>
      <c r="C20">
        <v>2</v>
      </c>
      <c r="D20" t="s">
        <v>6</v>
      </c>
      <c r="E20" t="s">
        <v>64</v>
      </c>
      <c r="F20" s="2">
        <v>9.58</v>
      </c>
      <c r="G20" s="2">
        <f t="shared" si="0"/>
        <v>19.16</v>
      </c>
    </row>
    <row r="21" spans="1:8" x14ac:dyDescent="0.2">
      <c r="A21" t="s">
        <v>67</v>
      </c>
      <c r="B21" s="1" t="s">
        <v>65</v>
      </c>
      <c r="C21">
        <v>1</v>
      </c>
      <c r="D21" t="s">
        <v>6</v>
      </c>
      <c r="E21" t="s">
        <v>66</v>
      </c>
      <c r="F21" s="2">
        <v>7.46</v>
      </c>
      <c r="G21" s="2">
        <f t="shared" si="0"/>
        <v>7.46</v>
      </c>
      <c r="H21" t="s">
        <v>68</v>
      </c>
    </row>
    <row r="22" spans="1:8" x14ac:dyDescent="0.2">
      <c r="A22" t="s">
        <v>71</v>
      </c>
      <c r="B22" s="1" t="s">
        <v>69</v>
      </c>
      <c r="C22">
        <v>1</v>
      </c>
      <c r="D22" t="s">
        <v>6</v>
      </c>
      <c r="E22" t="s">
        <v>70</v>
      </c>
      <c r="F22" s="2">
        <v>29.02</v>
      </c>
      <c r="G22" s="2">
        <f t="shared" si="0"/>
        <v>29.02</v>
      </c>
    </row>
    <row r="23" spans="1:8" x14ac:dyDescent="0.2">
      <c r="A23" t="s">
        <v>74</v>
      </c>
      <c r="B23" t="s">
        <v>72</v>
      </c>
      <c r="C23">
        <v>1</v>
      </c>
      <c r="D23" t="s">
        <v>6</v>
      </c>
      <c r="E23" t="s">
        <v>73</v>
      </c>
      <c r="F23" s="2">
        <v>36.86</v>
      </c>
      <c r="G23" s="2">
        <f t="shared" si="0"/>
        <v>36.86</v>
      </c>
    </row>
    <row r="24" spans="1:8" x14ac:dyDescent="0.2">
      <c r="A24" t="s">
        <v>77</v>
      </c>
      <c r="B24" s="1" t="s">
        <v>75</v>
      </c>
      <c r="C24">
        <v>1</v>
      </c>
      <c r="D24" t="s">
        <v>6</v>
      </c>
      <c r="E24" t="s">
        <v>76</v>
      </c>
      <c r="F24" s="2">
        <v>215.57</v>
      </c>
      <c r="G24" s="2">
        <f t="shared" si="0"/>
        <v>215.57</v>
      </c>
    </row>
    <row r="25" spans="1:8" x14ac:dyDescent="0.2">
      <c r="A25" t="s">
        <v>80</v>
      </c>
      <c r="B25" s="1" t="s">
        <v>78</v>
      </c>
      <c r="C25">
        <v>1</v>
      </c>
      <c r="D25" t="s">
        <v>6</v>
      </c>
      <c r="E25" t="s">
        <v>79</v>
      </c>
      <c r="F25" s="2">
        <v>554.20000000000005</v>
      </c>
      <c r="G25" s="2">
        <f t="shared" si="0"/>
        <v>554.20000000000005</v>
      </c>
      <c r="H25" t="s">
        <v>128</v>
      </c>
    </row>
    <row r="26" spans="1:8" x14ac:dyDescent="0.2">
      <c r="A26" t="s">
        <v>83</v>
      </c>
      <c r="B26" t="s">
        <v>81</v>
      </c>
      <c r="C26">
        <v>1</v>
      </c>
      <c r="D26" t="s">
        <v>6</v>
      </c>
      <c r="E26" t="s">
        <v>84</v>
      </c>
      <c r="F26" s="2">
        <v>14.07</v>
      </c>
      <c r="G26" s="2">
        <f t="shared" si="0"/>
        <v>14.07</v>
      </c>
      <c r="H26" t="s">
        <v>82</v>
      </c>
    </row>
    <row r="27" spans="1:8" x14ac:dyDescent="0.2">
      <c r="A27" t="s">
        <v>92</v>
      </c>
      <c r="B27" s="1" t="s">
        <v>88</v>
      </c>
      <c r="C27">
        <v>1</v>
      </c>
      <c r="D27" t="s">
        <v>91</v>
      </c>
      <c r="E27" t="s">
        <v>89</v>
      </c>
      <c r="F27" s="2">
        <v>318.77999999999997</v>
      </c>
      <c r="G27" s="2">
        <f t="shared" si="0"/>
        <v>318.77999999999997</v>
      </c>
      <c r="H27" t="s">
        <v>90</v>
      </c>
    </row>
    <row r="28" spans="1:8" x14ac:dyDescent="0.2">
      <c r="A28" t="s">
        <v>95</v>
      </c>
      <c r="B28" s="1" t="s">
        <v>93</v>
      </c>
      <c r="C28">
        <v>1</v>
      </c>
      <c r="D28" t="s">
        <v>91</v>
      </c>
      <c r="E28" t="s">
        <v>94</v>
      </c>
      <c r="F28" s="2">
        <v>308.66000000000003</v>
      </c>
      <c r="G28" s="2">
        <f t="shared" si="0"/>
        <v>308.66000000000003</v>
      </c>
      <c r="H28" t="s">
        <v>96</v>
      </c>
    </row>
    <row r="29" spans="1:8" x14ac:dyDescent="0.2">
      <c r="A29" t="s">
        <v>99</v>
      </c>
      <c r="B29" t="s">
        <v>97</v>
      </c>
      <c r="C29">
        <v>1</v>
      </c>
      <c r="D29" t="s">
        <v>6</v>
      </c>
      <c r="E29" t="s">
        <v>98</v>
      </c>
      <c r="F29" s="2">
        <v>133.46</v>
      </c>
      <c r="G29" s="2">
        <f t="shared" si="0"/>
        <v>133.46</v>
      </c>
    </row>
    <row r="30" spans="1:8" x14ac:dyDescent="0.2">
      <c r="A30" t="s">
        <v>102</v>
      </c>
      <c r="B30" t="s">
        <v>100</v>
      </c>
      <c r="C30">
        <v>1</v>
      </c>
      <c r="D30" t="s">
        <v>101</v>
      </c>
      <c r="E30" t="s">
        <v>105</v>
      </c>
      <c r="F30" s="2">
        <v>541.5</v>
      </c>
      <c r="G30" s="2">
        <f t="shared" si="0"/>
        <v>541.5</v>
      </c>
      <c r="H30" t="s">
        <v>106</v>
      </c>
    </row>
    <row r="31" spans="1:8" x14ac:dyDescent="0.2">
      <c r="A31" t="s">
        <v>107</v>
      </c>
      <c r="B31" t="s">
        <v>103</v>
      </c>
      <c r="C31">
        <v>1</v>
      </c>
      <c r="D31" t="s">
        <v>101</v>
      </c>
      <c r="E31" t="s">
        <v>104</v>
      </c>
      <c r="F31" s="2">
        <v>41</v>
      </c>
      <c r="G31" s="2">
        <f t="shared" si="0"/>
        <v>41</v>
      </c>
    </row>
    <row r="32" spans="1:8" x14ac:dyDescent="0.2">
      <c r="A32" t="s">
        <v>110</v>
      </c>
      <c r="B32" s="1" t="s">
        <v>108</v>
      </c>
      <c r="C32">
        <v>1</v>
      </c>
      <c r="D32" t="s">
        <v>101</v>
      </c>
      <c r="E32" t="s">
        <v>109</v>
      </c>
      <c r="F32" s="2">
        <v>38</v>
      </c>
      <c r="G32" s="2">
        <f t="shared" si="0"/>
        <v>38</v>
      </c>
    </row>
    <row r="33" spans="1:8" x14ac:dyDescent="0.2">
      <c r="A33" t="s">
        <v>113</v>
      </c>
      <c r="B33" t="s">
        <v>111</v>
      </c>
      <c r="C33">
        <v>1</v>
      </c>
      <c r="D33" t="s">
        <v>6</v>
      </c>
      <c r="E33" t="s">
        <v>112</v>
      </c>
      <c r="F33" s="2">
        <v>184.47</v>
      </c>
      <c r="G33" s="2">
        <f t="shared" si="0"/>
        <v>184.47</v>
      </c>
    </row>
    <row r="34" spans="1:8" x14ac:dyDescent="0.2">
      <c r="A34" t="s">
        <v>116</v>
      </c>
      <c r="B34" t="s">
        <v>114</v>
      </c>
      <c r="C34">
        <v>1</v>
      </c>
      <c r="D34" t="s">
        <v>6</v>
      </c>
      <c r="E34" t="s">
        <v>115</v>
      </c>
      <c r="F34" s="2">
        <v>10.11</v>
      </c>
      <c r="G34" s="2">
        <f t="shared" si="0"/>
        <v>10.11</v>
      </c>
      <c r="H34" t="s">
        <v>117</v>
      </c>
    </row>
    <row r="35" spans="1:8" x14ac:dyDescent="0.2">
      <c r="A35" t="s">
        <v>122</v>
      </c>
      <c r="B35" s="1" t="s">
        <v>120</v>
      </c>
      <c r="C35">
        <v>1</v>
      </c>
      <c r="D35" t="s">
        <v>118</v>
      </c>
      <c r="E35" t="s">
        <v>119</v>
      </c>
      <c r="F35" s="2">
        <v>307</v>
      </c>
      <c r="G35" s="2">
        <f t="shared" si="0"/>
        <v>307</v>
      </c>
      <c r="H35" t="s">
        <v>123</v>
      </c>
    </row>
    <row r="36" spans="1:8" x14ac:dyDescent="0.2">
      <c r="A36" t="s">
        <v>121</v>
      </c>
      <c r="B36" s="1" t="s">
        <v>120</v>
      </c>
      <c r="C36">
        <v>1</v>
      </c>
      <c r="D36" t="s">
        <v>118</v>
      </c>
      <c r="E36" t="s">
        <v>124</v>
      </c>
      <c r="F36" s="2">
        <v>552.29999999999995</v>
      </c>
      <c r="G36" s="2">
        <f t="shared" si="0"/>
        <v>552.29999999999995</v>
      </c>
      <c r="H36" t="s">
        <v>126</v>
      </c>
    </row>
    <row r="37" spans="1:8" x14ac:dyDescent="0.2">
      <c r="A37" t="s">
        <v>121</v>
      </c>
      <c r="B37" s="1" t="s">
        <v>120</v>
      </c>
      <c r="C37">
        <v>1</v>
      </c>
      <c r="D37" t="s">
        <v>118</v>
      </c>
      <c r="E37" t="s">
        <v>125</v>
      </c>
      <c r="F37" s="2">
        <v>1002.2</v>
      </c>
      <c r="G37" s="2">
        <f t="shared" si="0"/>
        <v>1002.2</v>
      </c>
      <c r="H37" t="s">
        <v>127</v>
      </c>
    </row>
    <row r="38" spans="1:8" x14ac:dyDescent="0.2">
      <c r="B38" s="1"/>
    </row>
    <row r="40" spans="1:8" x14ac:dyDescent="0.2">
      <c r="A40" t="s">
        <v>49</v>
      </c>
      <c r="G40" s="2">
        <f>SUM(G2:G37)</f>
        <v>7124.97</v>
      </c>
    </row>
  </sheetData>
  <hyperlinks>
    <hyperlink ref="B2" r:id="rId1" xr:uid="{0630A41A-C22E-7047-95D4-CCD298DDFDA5}"/>
    <hyperlink ref="B5" r:id="rId2" xr:uid="{AAAEEC9F-B100-FE46-B498-43849376C5E3}"/>
    <hyperlink ref="B9" r:id="rId3" xr:uid="{CE18D736-666F-4E4E-B0BD-9C1C2583EC87}"/>
    <hyperlink ref="B12" r:id="rId4" xr:uid="{BA6E6F7F-ADF6-6249-BF2C-52DE3E5E78C9}"/>
    <hyperlink ref="B21" r:id="rId5" xr:uid="{504F6F34-5D83-0044-975C-9244189EDCC7}"/>
    <hyperlink ref="B22" r:id="rId6" xr:uid="{401D3916-42D9-664E-8603-749E53ABAE6D}"/>
    <hyperlink ref="B24" r:id="rId7" xr:uid="{720927FD-22CC-1D4E-8455-18EDA75DE389}"/>
    <hyperlink ref="B25" r:id="rId8" xr:uid="{09B09FD3-5D7F-3B4B-934F-025C498BFA00}"/>
    <hyperlink ref="B16" r:id="rId9" xr:uid="{70E15AB1-B9F4-3645-A05F-ED4756FD0556}"/>
    <hyperlink ref="B17" r:id="rId10" xr:uid="{826BBD6F-E9B5-C347-95D6-65FAC13B4EE6}"/>
    <hyperlink ref="B27" r:id="rId11" xr:uid="{5328428D-DD85-264F-B63B-13009158FD3F}"/>
    <hyperlink ref="B28" r:id="rId12" xr:uid="{C8B4B329-6ED0-E64E-8928-B5A7FD66E766}"/>
    <hyperlink ref="B32" r:id="rId13" xr:uid="{1B2C1ABD-6E1D-F64D-9CF6-EF33089AB7F5}"/>
    <hyperlink ref="B35" r:id="rId14" xr:uid="{65F75DD6-B360-E548-840A-2E84F246601D}"/>
    <hyperlink ref="B36:B37" r:id="rId15" display="https://neuro.doriclenses.com/collections/branching-fiber-optic-patchcords" xr:uid="{A1EA6119-AA64-BD43-BC87-11A1349F2E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Breton Provencher</dc:creator>
  <cp:lastModifiedBy>Vincent Breton Provencher</cp:lastModifiedBy>
  <dcterms:created xsi:type="dcterms:W3CDTF">2026-09-15T20:13:18Z</dcterms:created>
  <dcterms:modified xsi:type="dcterms:W3CDTF">2026-09-15T22:12:33Z</dcterms:modified>
</cp:coreProperties>
</file>